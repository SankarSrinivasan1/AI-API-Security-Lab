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ack Surface" sheetId="1" r:id="rId5"/>
    <sheet state="visible" name="Dashboard" sheetId="2" r:id="rId6"/>
    <sheet state="visible" name="About" sheetId="3" r:id="rId7"/>
  </sheets>
  <definedNames/>
  <calcPr/>
</workbook>
</file>

<file path=xl/sharedStrings.xml><?xml version="1.0" encoding="utf-8"?>
<sst xmlns="http://schemas.openxmlformats.org/spreadsheetml/2006/main" count="177" uniqueCount="118">
  <si>
    <t>Component</t>
  </si>
  <si>
    <t>Entry Point</t>
  </si>
  <si>
    <t>Threat</t>
  </si>
  <si>
    <t>Risk Level</t>
  </si>
  <si>
    <t>Control</t>
  </si>
  <si>
    <t>Status</t>
  </si>
  <si>
    <t>Owner</t>
  </si>
  <si>
    <t>Last Reviewed</t>
  </si>
  <si>
    <t>Notes</t>
  </si>
  <si>
    <t>Risk Score</t>
  </si>
  <si>
    <t>API /generate</t>
  </si>
  <si>
    <t>POST</t>
  </si>
  <si>
    <t>Prompt Injection</t>
  </si>
  <si>
    <t>High</t>
  </si>
  <si>
    <t>Input Sanitization</t>
  </si>
  <si>
    <t>Pending</t>
  </si>
  <si>
    <t>Sankar</t>
  </si>
  <si>
    <t>Ken</t>
  </si>
  <si>
    <t>Okay</t>
  </si>
  <si>
    <t>Logging</t>
  </si>
  <si>
    <t>File logs</t>
  </si>
  <si>
    <t>Data Leakage</t>
  </si>
  <si>
    <t>Mask sensitive data</t>
  </si>
  <si>
    <t>In Progress</t>
  </si>
  <si>
    <t>Don't edit red cells</t>
  </si>
  <si>
    <t>LLM Output</t>
  </si>
  <si>
    <t>Response</t>
  </si>
  <si>
    <t>Info Exposure</t>
  </si>
  <si>
    <t>Medium</t>
  </si>
  <si>
    <t>Output filtering</t>
  </si>
  <si>
    <t>Ignored</t>
  </si>
  <si>
    <t>Auth</t>
  </si>
  <si>
    <t>Token</t>
  </si>
  <si>
    <t>Token leakage</t>
  </si>
  <si>
    <t>Secure storage</t>
  </si>
  <si>
    <t>Rate Limit</t>
  </si>
  <si>
    <t>API</t>
  </si>
  <si>
    <t>Abuse</t>
  </si>
  <si>
    <t>Rate limiting</t>
  </si>
  <si>
    <t>Input</t>
  </si>
  <si>
    <t>Prompt</t>
  </si>
  <si>
    <t>Overlong input</t>
  </si>
  <si>
    <t>Length checks</t>
  </si>
  <si>
    <t>Headers</t>
  </si>
  <si>
    <t>HTTP</t>
  </si>
  <si>
    <t>Missing headers</t>
  </si>
  <si>
    <t>Security headers</t>
  </si>
  <si>
    <t>LLM</t>
  </si>
  <si>
    <t>System prompt</t>
  </si>
  <si>
    <t>Leakage</t>
  </si>
  <si>
    <t>Prompt isolation</t>
  </si>
  <si>
    <t>Storage</t>
  </si>
  <si>
    <t>DB</t>
  </si>
  <si>
    <t>Sensitive storage</t>
  </si>
  <si>
    <t>Encryption</t>
  </si>
  <si>
    <t>Logs</t>
  </si>
  <si>
    <t>Debug</t>
  </si>
  <si>
    <t>Secrets in logs</t>
  </si>
  <si>
    <t>Masking</t>
  </si>
  <si>
    <t>GET</t>
  </si>
  <si>
    <t>Open endpoint</t>
  </si>
  <si>
    <t>Auth required</t>
  </si>
  <si>
    <t>Model</t>
  </si>
  <si>
    <t>Hallucination leak</t>
  </si>
  <si>
    <t>Validation</t>
  </si>
  <si>
    <t>Cache</t>
  </si>
  <si>
    <t>Layer</t>
  </si>
  <si>
    <t>Data exposure</t>
  </si>
  <si>
    <t>Cache control</t>
  </si>
  <si>
    <t>Env</t>
  </si>
  <si>
    <t>Config</t>
  </si>
  <si>
    <t>Key exposure</t>
  </si>
  <si>
    <t>Env vars</t>
  </si>
  <si>
    <t>File Upload</t>
  </si>
  <si>
    <t>Endpoint</t>
  </si>
  <si>
    <t>Malicious file</t>
  </si>
  <si>
    <t>Session</t>
  </si>
  <si>
    <t>Session hijack</t>
  </si>
  <si>
    <t>Secure cookies</t>
  </si>
  <si>
    <t>User input</t>
  </si>
  <si>
    <t>Instruction override</t>
  </si>
  <si>
    <t>Sanitization</t>
  </si>
  <si>
    <t>Done</t>
  </si>
  <si>
    <t>Output</t>
  </si>
  <si>
    <t>Sensitive pattern</t>
  </si>
  <si>
    <t>Filtering</t>
  </si>
  <si>
    <t>No validation</t>
  </si>
  <si>
    <t>Schema validation</t>
  </si>
  <si>
    <t>Monitoring</t>
  </si>
  <si>
    <t>No alerts</t>
  </si>
  <si>
    <t>Alerting</t>
  </si>
  <si>
    <t>Docker</t>
  </si>
  <si>
    <t>Container</t>
  </si>
  <si>
    <t>Misconfig</t>
  </si>
  <si>
    <t>Secure config</t>
  </si>
  <si>
    <t>Network</t>
  </si>
  <si>
    <t>Traffic</t>
  </si>
  <si>
    <t>MITM risk</t>
  </si>
  <si>
    <t>HTTPS</t>
  </si>
  <si>
    <t>Login</t>
  </si>
  <si>
    <t>Weak auth</t>
  </si>
  <si>
    <t>Strong auth</t>
  </si>
  <si>
    <t>Encoding</t>
  </si>
  <si>
    <t>Bypass filters</t>
  </si>
  <si>
    <t>Decode &amp; check</t>
  </si>
  <si>
    <t>System</t>
  </si>
  <si>
    <t>Debug exposed</t>
  </si>
  <si>
    <t>Disable debug</t>
  </si>
  <si>
    <t>Metric</t>
  </si>
  <si>
    <t>Value</t>
  </si>
  <si>
    <t>Total Issues</t>
  </si>
  <si>
    <t>High Risk</t>
  </si>
  <si>
    <t>Completed</t>
  </si>
  <si>
    <t>Developed by Sankar Srinivasan</t>
  </si>
  <si>
    <t>petra.srini@gmail.com</t>
  </si>
  <si>
    <t>https://beacons.ai/sankarsrinivasan</t>
  </si>
  <si>
    <t>This excel sheet is part of the book:</t>
  </si>
  <si>
    <t>API Security for AI Applications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</si>
</sst>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000000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  <font>
      <b/>
      <sz val="12.0"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74E13"/>
        <bgColor rgb="FF274E13"/>
      </patternFill>
    </fill>
    <fill>
      <patternFill patternType="solid">
        <fgColor rgb="FFFF0000"/>
        <bgColor rgb="FFFF000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0" fillId="3" fontId="2" numFmtId="0" xfId="0" applyFill="1" applyFont="1"/>
    <xf borderId="0" fillId="3" fontId="2" numFmtId="0" xfId="0" applyAlignment="1" applyFont="1">
      <alignment readingOrder="0"/>
    </xf>
    <xf borderId="0" fillId="4" fontId="2" numFmtId="0" xfId="0" applyFill="1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57"/>
    <col customWidth="1" min="3" max="3" width="16.14"/>
    <col customWidth="1" min="4" max="4" width="10.43"/>
    <col customWidth="1" min="5" max="5" width="17.57"/>
    <col customWidth="1" min="6" max="6" width="13.57"/>
    <col customWidth="1" min="7" max="7" width="8.71"/>
    <col customWidth="1" min="8" max="8" width="14.0"/>
    <col customWidth="1" min="9" max="9" width="8.71"/>
    <col customWidth="1" min="10" max="10" width="10.43"/>
    <col customWidth="1" min="11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5" t="s">
        <v>16</v>
      </c>
      <c r="H2" s="5" t="s">
        <v>17</v>
      </c>
      <c r="I2" s="5" t="s">
        <v>18</v>
      </c>
      <c r="J2" s="6">
        <f t="shared" ref="J2:J26" si="1">IF(D2="High",3,IF(D2="Medium",2,IF(D2="Low",1,"")))</f>
        <v>3</v>
      </c>
    </row>
    <row r="3">
      <c r="A3" s="4" t="s">
        <v>19</v>
      </c>
      <c r="B3" s="4" t="s">
        <v>20</v>
      </c>
      <c r="C3" s="4" t="s">
        <v>21</v>
      </c>
      <c r="D3" s="4" t="s">
        <v>13</v>
      </c>
      <c r="E3" s="4" t="s">
        <v>22</v>
      </c>
      <c r="F3" s="4" t="s">
        <v>23</v>
      </c>
      <c r="G3" s="4"/>
      <c r="H3" s="4"/>
      <c r="I3" s="4"/>
      <c r="J3" s="6">
        <f t="shared" si="1"/>
        <v>3</v>
      </c>
      <c r="L3" s="7" t="s">
        <v>24</v>
      </c>
    </row>
    <row r="4">
      <c r="A4" s="4" t="s">
        <v>25</v>
      </c>
      <c r="B4" s="4" t="s">
        <v>26</v>
      </c>
      <c r="C4" s="4" t="s">
        <v>27</v>
      </c>
      <c r="D4" s="4" t="s">
        <v>28</v>
      </c>
      <c r="E4" s="4" t="s">
        <v>29</v>
      </c>
      <c r="F4" s="5" t="s">
        <v>30</v>
      </c>
      <c r="G4" s="4"/>
      <c r="H4" s="4"/>
      <c r="I4" s="4"/>
      <c r="J4" s="6">
        <f t="shared" si="1"/>
        <v>2</v>
      </c>
    </row>
    <row r="5">
      <c r="A5" s="4" t="s">
        <v>31</v>
      </c>
      <c r="B5" s="4" t="s">
        <v>32</v>
      </c>
      <c r="C5" s="4" t="s">
        <v>33</v>
      </c>
      <c r="D5" s="4" t="s">
        <v>13</v>
      </c>
      <c r="E5" s="4" t="s">
        <v>34</v>
      </c>
      <c r="F5" s="4" t="s">
        <v>15</v>
      </c>
      <c r="G5" s="4"/>
      <c r="H5" s="4"/>
      <c r="I5" s="4"/>
      <c r="J5" s="6">
        <f t="shared" si="1"/>
        <v>3</v>
      </c>
    </row>
    <row r="6">
      <c r="A6" s="4" t="s">
        <v>35</v>
      </c>
      <c r="B6" s="4" t="s">
        <v>36</v>
      </c>
      <c r="C6" s="4" t="s">
        <v>37</v>
      </c>
      <c r="D6" s="4" t="s">
        <v>13</v>
      </c>
      <c r="E6" s="4" t="s">
        <v>38</v>
      </c>
      <c r="F6" s="4" t="s">
        <v>15</v>
      </c>
      <c r="G6" s="4"/>
      <c r="H6" s="4"/>
      <c r="I6" s="4"/>
      <c r="J6" s="6">
        <f t="shared" si="1"/>
        <v>3</v>
      </c>
    </row>
    <row r="7">
      <c r="A7" s="4" t="s">
        <v>39</v>
      </c>
      <c r="B7" s="4" t="s">
        <v>40</v>
      </c>
      <c r="C7" s="4" t="s">
        <v>41</v>
      </c>
      <c r="D7" s="4" t="s">
        <v>28</v>
      </c>
      <c r="E7" s="4" t="s">
        <v>42</v>
      </c>
      <c r="F7" s="4" t="s">
        <v>15</v>
      </c>
      <c r="G7" s="4"/>
      <c r="H7" s="4"/>
      <c r="I7" s="4"/>
      <c r="J7" s="6">
        <f t="shared" si="1"/>
        <v>2</v>
      </c>
    </row>
    <row r="8">
      <c r="A8" s="4" t="s">
        <v>43</v>
      </c>
      <c r="B8" s="4" t="s">
        <v>44</v>
      </c>
      <c r="C8" s="4" t="s">
        <v>45</v>
      </c>
      <c r="D8" s="4" t="s">
        <v>28</v>
      </c>
      <c r="E8" s="4" t="s">
        <v>46</v>
      </c>
      <c r="F8" s="4" t="s">
        <v>15</v>
      </c>
      <c r="G8" s="4"/>
      <c r="H8" s="4"/>
      <c r="I8" s="4"/>
      <c r="J8" s="6">
        <f t="shared" si="1"/>
        <v>2</v>
      </c>
    </row>
    <row r="9">
      <c r="A9" s="4" t="s">
        <v>47</v>
      </c>
      <c r="B9" s="4" t="s">
        <v>48</v>
      </c>
      <c r="C9" s="4" t="s">
        <v>49</v>
      </c>
      <c r="D9" s="4" t="s">
        <v>13</v>
      </c>
      <c r="E9" s="4" t="s">
        <v>50</v>
      </c>
      <c r="F9" s="4" t="s">
        <v>15</v>
      </c>
      <c r="G9" s="4"/>
      <c r="H9" s="4"/>
      <c r="I9" s="4"/>
      <c r="J9" s="6">
        <f t="shared" si="1"/>
        <v>3</v>
      </c>
    </row>
    <row r="10">
      <c r="A10" s="4" t="s">
        <v>51</v>
      </c>
      <c r="B10" s="4" t="s">
        <v>52</v>
      </c>
      <c r="C10" s="4" t="s">
        <v>53</v>
      </c>
      <c r="D10" s="4" t="s">
        <v>13</v>
      </c>
      <c r="E10" s="4" t="s">
        <v>54</v>
      </c>
      <c r="F10" s="4" t="s">
        <v>15</v>
      </c>
      <c r="G10" s="4"/>
      <c r="H10" s="4"/>
      <c r="I10" s="4"/>
      <c r="J10" s="6">
        <f t="shared" si="1"/>
        <v>3</v>
      </c>
    </row>
    <row r="11">
      <c r="A11" s="4" t="s">
        <v>55</v>
      </c>
      <c r="B11" s="4" t="s">
        <v>56</v>
      </c>
      <c r="C11" s="4" t="s">
        <v>57</v>
      </c>
      <c r="D11" s="4" t="s">
        <v>13</v>
      </c>
      <c r="E11" s="4" t="s">
        <v>58</v>
      </c>
      <c r="F11" s="4" t="s">
        <v>15</v>
      </c>
      <c r="G11" s="4"/>
      <c r="H11" s="4"/>
      <c r="I11" s="4"/>
      <c r="J11" s="6">
        <f t="shared" si="1"/>
        <v>3</v>
      </c>
    </row>
    <row r="12">
      <c r="A12" s="4" t="s">
        <v>36</v>
      </c>
      <c r="B12" s="4" t="s">
        <v>59</v>
      </c>
      <c r="C12" s="4" t="s">
        <v>60</v>
      </c>
      <c r="D12" s="4" t="s">
        <v>28</v>
      </c>
      <c r="E12" s="4" t="s">
        <v>61</v>
      </c>
      <c r="F12" s="4" t="s">
        <v>15</v>
      </c>
      <c r="G12" s="4"/>
      <c r="H12" s="4"/>
      <c r="I12" s="4"/>
      <c r="J12" s="6">
        <f t="shared" si="1"/>
        <v>2</v>
      </c>
    </row>
    <row r="13">
      <c r="A13" s="4" t="s">
        <v>62</v>
      </c>
      <c r="B13" s="4" t="s">
        <v>26</v>
      </c>
      <c r="C13" s="4" t="s">
        <v>63</v>
      </c>
      <c r="D13" s="4" t="s">
        <v>28</v>
      </c>
      <c r="E13" s="4" t="s">
        <v>64</v>
      </c>
      <c r="F13" s="4" t="s">
        <v>15</v>
      </c>
      <c r="G13" s="4"/>
      <c r="H13" s="4"/>
      <c r="I13" s="4"/>
      <c r="J13" s="6">
        <f t="shared" si="1"/>
        <v>2</v>
      </c>
    </row>
    <row r="14">
      <c r="A14" s="4" t="s">
        <v>65</v>
      </c>
      <c r="B14" s="4" t="s">
        <v>66</v>
      </c>
      <c r="C14" s="4" t="s">
        <v>67</v>
      </c>
      <c r="D14" s="4" t="s">
        <v>28</v>
      </c>
      <c r="E14" s="4" t="s">
        <v>68</v>
      </c>
      <c r="F14" s="4" t="s">
        <v>15</v>
      </c>
      <c r="G14" s="4"/>
      <c r="H14" s="4"/>
      <c r="I14" s="4"/>
      <c r="J14" s="6">
        <f t="shared" si="1"/>
        <v>2</v>
      </c>
    </row>
    <row r="15">
      <c r="A15" s="4" t="s">
        <v>69</v>
      </c>
      <c r="B15" s="4" t="s">
        <v>70</v>
      </c>
      <c r="C15" s="4" t="s">
        <v>71</v>
      </c>
      <c r="D15" s="4" t="s">
        <v>13</v>
      </c>
      <c r="E15" s="4" t="s">
        <v>72</v>
      </c>
      <c r="F15" s="4" t="s">
        <v>15</v>
      </c>
      <c r="G15" s="4"/>
      <c r="H15" s="4"/>
      <c r="I15" s="4"/>
      <c r="J15" s="6">
        <f t="shared" si="1"/>
        <v>3</v>
      </c>
    </row>
    <row r="16">
      <c r="A16" s="4" t="s">
        <v>73</v>
      </c>
      <c r="B16" s="4" t="s">
        <v>74</v>
      </c>
      <c r="C16" s="4" t="s">
        <v>75</v>
      </c>
      <c r="D16" s="4" t="s">
        <v>13</v>
      </c>
      <c r="E16" s="4" t="s">
        <v>64</v>
      </c>
      <c r="F16" s="4" t="s">
        <v>15</v>
      </c>
      <c r="G16" s="4"/>
      <c r="H16" s="4"/>
      <c r="I16" s="4"/>
      <c r="J16" s="6">
        <f t="shared" si="1"/>
        <v>3</v>
      </c>
    </row>
    <row r="17">
      <c r="A17" s="4" t="s">
        <v>76</v>
      </c>
      <c r="B17" s="4" t="s">
        <v>32</v>
      </c>
      <c r="C17" s="4" t="s">
        <v>77</v>
      </c>
      <c r="D17" s="4" t="s">
        <v>13</v>
      </c>
      <c r="E17" s="4" t="s">
        <v>78</v>
      </c>
      <c r="F17" s="4" t="s">
        <v>15</v>
      </c>
      <c r="G17" s="4"/>
      <c r="H17" s="4"/>
      <c r="I17" s="4"/>
      <c r="J17" s="6">
        <f t="shared" si="1"/>
        <v>3</v>
      </c>
    </row>
    <row r="18">
      <c r="A18" s="4" t="s">
        <v>40</v>
      </c>
      <c r="B18" s="4" t="s">
        <v>79</v>
      </c>
      <c r="C18" s="4" t="s">
        <v>80</v>
      </c>
      <c r="D18" s="4" t="s">
        <v>13</v>
      </c>
      <c r="E18" s="4" t="s">
        <v>81</v>
      </c>
      <c r="F18" s="5" t="s">
        <v>82</v>
      </c>
      <c r="G18" s="4"/>
      <c r="H18" s="4"/>
      <c r="I18" s="4"/>
      <c r="J18" s="6">
        <f t="shared" si="1"/>
        <v>3</v>
      </c>
    </row>
    <row r="19">
      <c r="A19" s="4" t="s">
        <v>47</v>
      </c>
      <c r="B19" s="4" t="s">
        <v>83</v>
      </c>
      <c r="C19" s="4" t="s">
        <v>84</v>
      </c>
      <c r="D19" s="4" t="s">
        <v>28</v>
      </c>
      <c r="E19" s="4" t="s">
        <v>85</v>
      </c>
      <c r="F19" s="4" t="s">
        <v>15</v>
      </c>
      <c r="G19" s="4"/>
      <c r="H19" s="4"/>
      <c r="I19" s="4"/>
      <c r="J19" s="6">
        <f t="shared" si="1"/>
        <v>2</v>
      </c>
    </row>
    <row r="20">
      <c r="A20" s="4" t="s">
        <v>36</v>
      </c>
      <c r="B20" s="4" t="s">
        <v>11</v>
      </c>
      <c r="C20" s="4" t="s">
        <v>86</v>
      </c>
      <c r="D20" s="4" t="s">
        <v>13</v>
      </c>
      <c r="E20" s="4" t="s">
        <v>87</v>
      </c>
      <c r="F20" s="4" t="s">
        <v>15</v>
      </c>
      <c r="G20" s="4"/>
      <c r="H20" s="4"/>
      <c r="I20" s="4"/>
      <c r="J20" s="6">
        <f t="shared" si="1"/>
        <v>3</v>
      </c>
    </row>
    <row r="21" ht="15.75" customHeight="1">
      <c r="A21" s="4" t="s">
        <v>88</v>
      </c>
      <c r="B21" s="4" t="s">
        <v>55</v>
      </c>
      <c r="C21" s="4" t="s">
        <v>89</v>
      </c>
      <c r="D21" s="4" t="s">
        <v>28</v>
      </c>
      <c r="E21" s="4" t="s">
        <v>90</v>
      </c>
      <c r="F21" s="4" t="s">
        <v>15</v>
      </c>
      <c r="G21" s="4"/>
      <c r="H21" s="4"/>
      <c r="I21" s="4"/>
      <c r="J21" s="6">
        <f t="shared" si="1"/>
        <v>2</v>
      </c>
    </row>
    <row r="22" ht="15.75" customHeight="1">
      <c r="A22" s="4" t="s">
        <v>91</v>
      </c>
      <c r="B22" s="4" t="s">
        <v>92</v>
      </c>
      <c r="C22" s="4" t="s">
        <v>93</v>
      </c>
      <c r="D22" s="4" t="s">
        <v>28</v>
      </c>
      <c r="E22" s="4" t="s">
        <v>94</v>
      </c>
      <c r="F22" s="4" t="s">
        <v>15</v>
      </c>
      <c r="G22" s="4"/>
      <c r="H22" s="4"/>
      <c r="I22" s="4"/>
      <c r="J22" s="6">
        <f t="shared" si="1"/>
        <v>2</v>
      </c>
    </row>
    <row r="23" ht="15.75" customHeight="1">
      <c r="A23" s="4" t="s">
        <v>95</v>
      </c>
      <c r="B23" s="4" t="s">
        <v>96</v>
      </c>
      <c r="C23" s="4" t="s">
        <v>97</v>
      </c>
      <c r="D23" s="4" t="s">
        <v>13</v>
      </c>
      <c r="E23" s="4" t="s">
        <v>98</v>
      </c>
      <c r="F23" s="4" t="s">
        <v>15</v>
      </c>
      <c r="G23" s="4"/>
      <c r="H23" s="4"/>
      <c r="I23" s="4"/>
      <c r="J23" s="6">
        <f t="shared" si="1"/>
        <v>3</v>
      </c>
    </row>
    <row r="24" ht="15.75" customHeight="1">
      <c r="A24" s="4" t="s">
        <v>31</v>
      </c>
      <c r="B24" s="4" t="s">
        <v>99</v>
      </c>
      <c r="C24" s="4" t="s">
        <v>100</v>
      </c>
      <c r="D24" s="4" t="s">
        <v>13</v>
      </c>
      <c r="E24" s="4" t="s">
        <v>101</v>
      </c>
      <c r="F24" s="4" t="s">
        <v>15</v>
      </c>
      <c r="G24" s="4"/>
      <c r="H24" s="4"/>
      <c r="I24" s="4"/>
      <c r="J24" s="6">
        <f t="shared" si="1"/>
        <v>3</v>
      </c>
    </row>
    <row r="25" ht="15.75" customHeight="1">
      <c r="A25" s="4" t="s">
        <v>39</v>
      </c>
      <c r="B25" s="4" t="s">
        <v>102</v>
      </c>
      <c r="C25" s="4" t="s">
        <v>103</v>
      </c>
      <c r="D25" s="4" t="s">
        <v>28</v>
      </c>
      <c r="E25" s="4" t="s">
        <v>104</v>
      </c>
      <c r="F25" s="4" t="s">
        <v>15</v>
      </c>
      <c r="G25" s="4"/>
      <c r="H25" s="4"/>
      <c r="I25" s="4"/>
      <c r="J25" s="6">
        <f t="shared" si="1"/>
        <v>2</v>
      </c>
    </row>
    <row r="26" ht="15.75" customHeight="1">
      <c r="A26" s="4" t="s">
        <v>105</v>
      </c>
      <c r="B26" s="4" t="s">
        <v>70</v>
      </c>
      <c r="C26" s="4" t="s">
        <v>106</v>
      </c>
      <c r="D26" s="4" t="s">
        <v>13</v>
      </c>
      <c r="E26" s="4" t="s">
        <v>107</v>
      </c>
      <c r="F26" s="4" t="s">
        <v>15</v>
      </c>
      <c r="G26" s="4"/>
      <c r="H26" s="4"/>
      <c r="I26" s="4"/>
      <c r="J26" s="6">
        <f t="shared" si="1"/>
        <v>3</v>
      </c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6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6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6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6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6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6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6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6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6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6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6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6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6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6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6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6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6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6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6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6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6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6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6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6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6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6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6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6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6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6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6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6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6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6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6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6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6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6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6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6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6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6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6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6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6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6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6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6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6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6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6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6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6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6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6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6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6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6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6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6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6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6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6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6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6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6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6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6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6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6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6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6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6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6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6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6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6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6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6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6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6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6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6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6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6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6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6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6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6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6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6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6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6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6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6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6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6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6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6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6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6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6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6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6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6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6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6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6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6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6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6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6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6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6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6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6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6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6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6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6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6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6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6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6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6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6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6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6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6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6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6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6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6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6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6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6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6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6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6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6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6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6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6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6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6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6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6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6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6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6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6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6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6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6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6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6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6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6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6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6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6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6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6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6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6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6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6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6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6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6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6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6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6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6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6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6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6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6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6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6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6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6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6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6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6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6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6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6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6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6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6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6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6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6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6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6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6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6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6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6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6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6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6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6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6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6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6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6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6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6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6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6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6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6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6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6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6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6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6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6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6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6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6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6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6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6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6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6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6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6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6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6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6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6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6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6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6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6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6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6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6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6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6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6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6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6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6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6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6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6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6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6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6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6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6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6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6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6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6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6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6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6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6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6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6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6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6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6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6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6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6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6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6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6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6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6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6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6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6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6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6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6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6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6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6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6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6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6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6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6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6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6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6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6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6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6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6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6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6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6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6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6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6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6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6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6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6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6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6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6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6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6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6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6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6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6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6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6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6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6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6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6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6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6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6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6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6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6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6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6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6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6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6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6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6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6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6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6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6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6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6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6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6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6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6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6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6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6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6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6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6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6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6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6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6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6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6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6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6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6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6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6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6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6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6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6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6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6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6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6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6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6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6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6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6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6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6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6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6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6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6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6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6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6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6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6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6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6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6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6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6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6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6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6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6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6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6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6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6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6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6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6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6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6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6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6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6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6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6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6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6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6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6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6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6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6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6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6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6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6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6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6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6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6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6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6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6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6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6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6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6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6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6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6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6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6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6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6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6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6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6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6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6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6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6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6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6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6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6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6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6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6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6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6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6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6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6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6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6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6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6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6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6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6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6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6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6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6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6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6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6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6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6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6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6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6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6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6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6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6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6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6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6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6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6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6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6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6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6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6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6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6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6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6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6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6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6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6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6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6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6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6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6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6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6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6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6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6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6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6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6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6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6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6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6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6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6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6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6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6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6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6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6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6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6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6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6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6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6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6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6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6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6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6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6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6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6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6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6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6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6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6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6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6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6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6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6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6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6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6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6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6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6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6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6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6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6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6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6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6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6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6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6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6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6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6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6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6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6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6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6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6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6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6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6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6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6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6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6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6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6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6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6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6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6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6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6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6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6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6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6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6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6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6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6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6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6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6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6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6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6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6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6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6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6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6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6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6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6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6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6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6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6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6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6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6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6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6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6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6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6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6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6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6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6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6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6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6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6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6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6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6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6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6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6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6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6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6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6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6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6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6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6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6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6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6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6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6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6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6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6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6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6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6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6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6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6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6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6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6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6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6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6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6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6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6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6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6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6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6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6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6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6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6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6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6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6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6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6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6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6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6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6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6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6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6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6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6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6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6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6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6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6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6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6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6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6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6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6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6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6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6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6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6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6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6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6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6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6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6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6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6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6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6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6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6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6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6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6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6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6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6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6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6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6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6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6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6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6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6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6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6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6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6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6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6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6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6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6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6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6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6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6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6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6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6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6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6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6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6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6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6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6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6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6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6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6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6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6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6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6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6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6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6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6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6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6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6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6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6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6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6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6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6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6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6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6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6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6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6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6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6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6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6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6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6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6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6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6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6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6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6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6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6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6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6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6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6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6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6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6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6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6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6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6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6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6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6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6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6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6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6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6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6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6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6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6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6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6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6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6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6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6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6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6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6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6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6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6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6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6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6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6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6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6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6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6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6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6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6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6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6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6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6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6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6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6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6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6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6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6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6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6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6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6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6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6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6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6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6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6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6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6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6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6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6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6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6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6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6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6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6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6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6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6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6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6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6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6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6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6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6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6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6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6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6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6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6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6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6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6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6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6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6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6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6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6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6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6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6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6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6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6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6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6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6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6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6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6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6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6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6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6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6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6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6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6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6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6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6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6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6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6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6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6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6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6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6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6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6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6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6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6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6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6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6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6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6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6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6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6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6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6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6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6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6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6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6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6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6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6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6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6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6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6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6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6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6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6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6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6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6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6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6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6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6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6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6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6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6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6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6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6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6"/>
    </row>
  </sheetData>
  <dataValidations>
    <dataValidation type="list" allowBlank="1" sqref="F2:F26">
      <formula1>"Pending,In Progress,Done,Ignored"</formula1>
    </dataValidation>
    <dataValidation type="list" allowBlank="1" sqref="D2:D26">
      <formula1>"High,Medium,Low"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6" width="8.71"/>
  </cols>
  <sheetData>
    <row r="1">
      <c r="A1" s="8" t="s">
        <v>108</v>
      </c>
      <c r="B1" s="8" t="s">
        <v>109</v>
      </c>
    </row>
    <row r="2">
      <c r="A2" s="6" t="s">
        <v>110</v>
      </c>
      <c r="B2" s="6">
        <f>COUNTA('Attack Surface'!A2:A100)</f>
        <v>25</v>
      </c>
      <c r="F2" s="7" t="s">
        <v>24</v>
      </c>
    </row>
    <row r="3">
      <c r="A3" s="6" t="s">
        <v>111</v>
      </c>
      <c r="B3" s="6">
        <f>COUNTIF('Attack Surface'!D:D,"High")</f>
        <v>15</v>
      </c>
    </row>
    <row r="4">
      <c r="A4" s="6" t="s">
        <v>15</v>
      </c>
      <c r="B4" s="6">
        <f>COUNTIF('Attack Surface'!F:F,"Pending")</f>
        <v>22</v>
      </c>
    </row>
    <row r="5">
      <c r="A5" s="6" t="s">
        <v>112</v>
      </c>
      <c r="B5" s="6">
        <f>COUNTIF('Attack Surface'!F:F,"Done")</f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9" t="s">
        <v>113</v>
      </c>
    </row>
    <row r="2">
      <c r="A2" s="9" t="s">
        <v>114</v>
      </c>
    </row>
    <row r="3">
      <c r="A3" s="9" t="s">
        <v>115</v>
      </c>
    </row>
    <row r="4">
      <c r="G4" s="7" t="s">
        <v>24</v>
      </c>
    </row>
    <row r="5">
      <c r="A5" s="9" t="s">
        <v>116</v>
      </c>
    </row>
    <row r="6">
      <c r="A6" s="9" t="s">
        <v>117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